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E:\user vadim\Don\"/>
    </mc:Choice>
  </mc:AlternateContent>
  <xr:revisionPtr revIDLastSave="0" documentId="8_{221A8926-1B86-4A07-84BE-1893927E8AFB}" xr6:coauthVersionLast="47" xr6:coauthVersionMax="47" xr10:uidLastSave="{00000000-0000-0000-0000-000000000000}"/>
  <bookViews>
    <workbookView xWindow="2145" yWindow="1275" windowWidth="28800" windowHeight="17445" activeTab="2" xr2:uid="{00000000-000D-0000-FFFF-FFFF00000000}"/>
  </bookViews>
  <sheets>
    <sheet name="Завдання" sheetId="1" r:id="rId1"/>
    <sheet name="Варіант 6.7" sheetId="2" r:id="rId2"/>
    <sheet name="Варіант 6.8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" i="3" l="1"/>
  <c r="C9" i="3"/>
  <c r="B9" i="3"/>
  <c r="F8" i="3"/>
  <c r="E8" i="3"/>
  <c r="D8" i="3"/>
  <c r="F7" i="3"/>
  <c r="E7" i="3"/>
  <c r="D7" i="3"/>
  <c r="D9" i="3" s="1"/>
  <c r="F6" i="3"/>
  <c r="E6" i="3"/>
  <c r="D6" i="3"/>
  <c r="F5" i="3"/>
  <c r="E5" i="3"/>
  <c r="D5" i="3"/>
  <c r="J4" i="3"/>
  <c r="F4" i="3"/>
  <c r="F9" i="3" s="1"/>
  <c r="E4" i="3"/>
  <c r="D4" i="3"/>
  <c r="F9" i="2"/>
  <c r="E9" i="2"/>
  <c r="C9" i="2"/>
  <c r="J6" i="2" s="1"/>
  <c r="B9" i="2"/>
  <c r="F8" i="2"/>
  <c r="E8" i="2"/>
  <c r="D8" i="2"/>
  <c r="F7" i="2"/>
  <c r="E7" i="2"/>
  <c r="D7" i="2"/>
  <c r="F6" i="2"/>
  <c r="E6" i="2"/>
  <c r="D6" i="2"/>
  <c r="F5" i="2"/>
  <c r="E5" i="2"/>
  <c r="D5" i="2"/>
  <c r="J4" i="2"/>
  <c r="J5" i="2" s="1"/>
  <c r="F4" i="2"/>
  <c r="E4" i="2"/>
  <c r="D4" i="2"/>
  <c r="D9" i="2" s="1"/>
  <c r="G6" i="2" l="1"/>
  <c r="J8" i="2"/>
  <c r="G8" i="2"/>
  <c r="G4" i="2"/>
  <c r="G9" i="2" s="1"/>
  <c r="G5" i="2"/>
  <c r="G7" i="2"/>
  <c r="J7" i="3"/>
  <c r="J9" i="3" s="1"/>
  <c r="J5" i="3"/>
  <c r="J7" i="2"/>
  <c r="J9" i="2" s="1"/>
  <c r="J6" i="3" l="1"/>
  <c r="G4" i="3" s="1"/>
  <c r="G9" i="3" s="1"/>
  <c r="G7" i="3"/>
  <c r="G6" i="3"/>
  <c r="J8" i="3"/>
  <c r="G8" i="3"/>
  <c r="G5" i="3"/>
</calcChain>
</file>

<file path=xl/sharedStrings.xml><?xml version="1.0" encoding="utf-8"?>
<sst xmlns="http://schemas.openxmlformats.org/spreadsheetml/2006/main" count="51" uniqueCount="33">
  <si>
    <t>ЛПР15 — кореляція Пірсона та пряма регресії</t>
  </si>
  <si>
    <t>Виконано варіанти: 6.7 та 6.8</t>
  </si>
  <si>
    <t>У кожному аркуші заповнені вихідні дані, розрахункові стовпці x², y², xy, коефіцієнти a, b, r, рівняння регресії, графік та висновок.</t>
  </si>
  <si>
    <t>Формули</t>
  </si>
  <si>
    <t>a = (nΣxy − ΣxΣy) / (nΣx² − (Σx)²)</t>
  </si>
  <si>
    <t>b = (Σy − aΣx) / n</t>
  </si>
  <si>
    <t>r = (nΣxy − ΣxΣy) / √((nΣx² − (Σx)²)(nΣy² − (Σy)²))</t>
  </si>
  <si>
    <t>Примітка</t>
  </si>
  <si>
    <t>Жовтим кольором позначені вихідні дані, зеленим — автоматичні розрахунки. Значення можна змінювати у стовпцях x та y, після чого формули перерахуються автоматично.</t>
  </si>
  <si>
    <t>Задача 6 — Варіант 6.7: вибіркова пряма регресії</t>
  </si>
  <si>
    <t>№</t>
  </si>
  <si>
    <t>x</t>
  </si>
  <si>
    <t>y</t>
  </si>
  <si>
    <t>x²</t>
  </si>
  <si>
    <t>y²</t>
  </si>
  <si>
    <t>xy</t>
  </si>
  <si>
    <t>ŷ = ax + b</t>
  </si>
  <si>
    <t>Розрахунок коефіцієнтів</t>
  </si>
  <si>
    <t>n</t>
  </si>
  <si>
    <t>a</t>
  </si>
  <si>
    <t>коефіцієнт нахилу</t>
  </si>
  <si>
    <t>b</t>
  </si>
  <si>
    <t>вільний член</t>
  </si>
  <si>
    <t>r</t>
  </si>
  <si>
    <t>коефіцієнт кореляції Пірсона</t>
  </si>
  <si>
    <t>Рівняння</t>
  </si>
  <si>
    <t>Σ</t>
  </si>
  <si>
    <t>R²</t>
  </si>
  <si>
    <t>Підсумок: y = -0,74x + 5,92; r = -0,832</t>
  </si>
  <si>
    <t>За результатами обчислень для варіанта 6.7 отримано рівняння прямої регресії y = -0,74x + 5,92. Коефіцієнт кореляції Пірсона r ≈ -0,832, що свідчить про сильний обернений лінійний зв’язок між величинами X та Y. Отже, зі збільшенням X значення Y у середньому зменшується.</t>
  </si>
  <si>
    <t>Задача 6 — Варіант 6.8: вибіркова пряма регресії</t>
  </si>
  <si>
    <t>Підсумок: y = -0,74x + 7,50; r = -0,826</t>
  </si>
  <si>
    <t>За результатами обчислень для варіанта 6.8 отримано рівняння прямої регресії y = -0,74x + 7,50. Коефіцієнт кореляції Пірсона r ≈ -0,826, що свідчить про сильний обернений лінійний зв’язок між величинами X та Y. Отже, зі збільшенням X значення Y у середньому має тенденцію до зменшення.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</si>
</sst>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>
    <font>
      <sz val="11"/>
      <name val="Carlito"/>
    </font>
    <font>
      <b/>
      <sz val="14"/>
      <color rgb="FFFFFFFF"/>
      <name val="Carlito"/>
    </font>
    <font>
      <b/>
      <sz val="11"/>
      <name val="Carlito"/>
    </font>
    <font>
      <i/>
      <sz val="11"/>
      <name val="Carlito"/>
    </font>
    <font>
      <b/>
      <sz val="11"/>
      <color rgb="FFFFFFFF"/>
      <name val="Carlito"/>
    </font>
    <font>
      <sz val="11"/>
      <name val="Carlito"/>
    </font>
  </fonts>
  <fills count="9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2F2F2"/>
      </patternFill>
    </fill>
    <fill>
      <patternFill patternType="solid">
        <fgColor rgb="FF5B9BD5"/>
      </patternFill>
    </fill>
    <fill>
      <patternFill patternType="solid">
        <fgColor rgb="FFD9EAD3"/>
      </patternFill>
    </fill>
    <fill>
      <patternFill patternType="solid">
        <fgColor rgb="FFFFF2CC"/>
      </patternFill>
    </fill>
    <fill>
      <patternFill patternType="solid">
        <fgColor rgb="FFE2F0D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/>
  </cellStyleXfs>
  <cellXfs count="21">
    <xf numFmtId="0" fontId="0" fillId="0" borderId="0" xfId="0"/>
    <xf numFmtId="0" fontId="2" fillId="3" borderId="0" xfId="1" applyFont="1" applyFill="1" applyAlignment="1">
      <alignment horizontal="left" vertical="center"/>
    </xf>
    <xf numFmtId="0" fontId="3" fillId="4" borderId="0" xfId="1" applyFont="1" applyFill="1" applyAlignment="1">
      <alignment vertical="top" wrapText="1"/>
    </xf>
    <xf numFmtId="0" fontId="0" fillId="0" borderId="0" xfId="1" applyFont="1" applyAlignment="1">
      <alignment wrapText="1"/>
    </xf>
    <xf numFmtId="0" fontId="4" fillId="5" borderId="0" xfId="1" applyFont="1" applyFill="1" applyAlignment="1">
      <alignment horizontal="center" vertical="center" wrapText="1"/>
    </xf>
    <xf numFmtId="0" fontId="0" fillId="0" borderId="0" xfId="1" applyFont="1" applyAlignment="1">
      <alignment horizontal="center" wrapText="1"/>
    </xf>
    <xf numFmtId="1" fontId="0" fillId="7" borderId="0" xfId="1" applyNumberFormat="1" applyFont="1" applyFill="1" applyAlignment="1">
      <alignment horizontal="center" vertical="center" wrapText="1"/>
    </xf>
    <xf numFmtId="2" fontId="0" fillId="7" borderId="0" xfId="1" applyNumberFormat="1" applyFont="1" applyFill="1" applyAlignment="1">
      <alignment horizontal="center" vertical="center" wrapText="1"/>
    </xf>
    <xf numFmtId="2" fontId="0" fillId="8" borderId="0" xfId="1" applyNumberFormat="1" applyFont="1" applyFill="1" applyAlignment="1">
      <alignment horizontal="center" vertical="center" wrapText="1"/>
    </xf>
    <xf numFmtId="0" fontId="2" fillId="3" borderId="0" xfId="1" applyFont="1" applyFill="1" applyAlignment="1">
      <alignment horizontal="left" vertical="center" wrapText="1"/>
    </xf>
    <xf numFmtId="1" fontId="2" fillId="6" borderId="0" xfId="1" applyNumberFormat="1" applyFont="1" applyFill="1" applyAlignment="1">
      <alignment horizontal="center" vertical="center" wrapText="1"/>
    </xf>
    <xf numFmtId="164" fontId="2" fillId="6" borderId="0" xfId="1" applyNumberFormat="1" applyFont="1" applyFill="1" applyAlignment="1">
      <alignment horizontal="center" vertical="center" wrapText="1"/>
    </xf>
    <xf numFmtId="0" fontId="2" fillId="6" borderId="0" xfId="1" applyFont="1" applyFill="1" applyAlignment="1">
      <alignment horizontal="center" vertical="center" wrapText="1"/>
    </xf>
    <xf numFmtId="2" fontId="2" fillId="6" borderId="0" xfId="1" applyNumberFormat="1" applyFont="1" applyFill="1" applyAlignment="1">
      <alignment horizontal="center" vertical="center" wrapText="1"/>
    </xf>
    <xf numFmtId="0" fontId="1" fillId="2" borderId="0" xfId="1" applyFont="1" applyFill="1" applyAlignment="1">
      <alignment horizontal="center" vertical="center"/>
    </xf>
    <xf numFmtId="0" fontId="0" fillId="0" borderId="0" xfId="0"/>
    <xf numFmtId="0" fontId="3" fillId="4" borderId="0" xfId="1" applyFont="1" applyFill="1" applyAlignment="1">
      <alignment vertical="top" wrapText="1"/>
    </xf>
    <xf numFmtId="0" fontId="1" fillId="2" borderId="0" xfId="1" applyFont="1" applyFill="1" applyAlignment="1">
      <alignment horizontal="center" vertical="center" wrapText="1"/>
    </xf>
    <xf numFmtId="0" fontId="0" fillId="0" borderId="0" xfId="1" applyFont="1" applyAlignment="1">
      <alignment wrapText="1"/>
    </xf>
    <xf numFmtId="0" fontId="4" fillId="5" borderId="0" xfId="1" applyFont="1" applyFill="1" applyAlignment="1">
      <alignment horizontal="center" vertical="center" wrapText="1"/>
    </xf>
    <xf numFmtId="0" fontId="2" fillId="6" borderId="0" xfId="1" applyFont="1" applyFill="1" applyAlignment="1">
      <alignment horizontal="center" vertical="center" wrapText="1"/>
    </xf>
  </cellXfs>
  <cellStyles count="2">
    <cellStyle name="Normal" xfId="1" xr:uid="{00000000-0005-0000-0000-000000000000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title>
      <c:tx>
        <c:rich>
          <a:bodyPr/>
          <a:lstStyle/>
          <a:p>
            <a:r>
              <a:rPr lang="ru-RU"/>
              <a:t>Експериментальні дані та пряма регресії — Варіант 6.7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Експериментальні дані</c:v>
          </c:tx>
          <c:trendline>
            <c:spPr>
              <a:ln w="9525">
                <a:solidFill>
                  <a:srgbClr val="A5A5A5"/>
                </a:solidFill>
                <a:prstDash val="dash"/>
              </a:ln>
            </c:spPr>
            <c:trendlineType val="linear"/>
            <c:dispRSqr val="1"/>
            <c:dispEq val="1"/>
            <c:trendlineLbl>
              <c:numFmt formatCode="General" sourceLinked="0"/>
            </c:trendlineLbl>
          </c:trendline>
          <c:xVal>
            <c:numLit>
              <c:formatCode>General</c:formatCode>
              <c:ptCount val="5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</c:numLit>
          </c:xVal>
          <c:yVal>
            <c:numLit>
              <c:formatCode>General</c:formatCode>
              <c:ptCount val="5"/>
              <c:pt idx="0">
                <c:v>4.5</c:v>
              </c:pt>
              <c:pt idx="1">
                <c:v>5.5</c:v>
              </c:pt>
              <c:pt idx="2">
                <c:v>3.9</c:v>
              </c:pt>
              <c:pt idx="3">
                <c:v>2.1</c:v>
              </c:pt>
              <c:pt idx="4">
                <c:v>2.5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1-0039-4106-A53D-D59C1FE1A552}"/>
            </c:ext>
          </c:extLst>
        </c:ser>
        <c:ser>
          <c:idx val="1"/>
          <c:order val="1"/>
          <c:tx>
            <c:v>Пряма регресії</c:v>
          </c:tx>
          <c:xVal>
            <c:numLit>
              <c:formatCode>General</c:formatCode>
              <c:ptCount val="2"/>
              <c:pt idx="0">
                <c:v>1</c:v>
              </c:pt>
              <c:pt idx="1">
                <c:v>5</c:v>
              </c:pt>
            </c:numLit>
          </c:xVal>
          <c:yVal>
            <c:numLit>
              <c:formatCode>General</c:formatCode>
              <c:ptCount val="2"/>
              <c:pt idx="0">
                <c:v>5.18</c:v>
              </c:pt>
              <c:pt idx="1">
                <c:v>2.2199999999999998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2-0039-4106-A53D-D59C1FE1A5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650112"/>
        <c:axId val="48672768"/>
      </c:scatterChart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midCat"/>
      </c:valAx>
      <c:val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crossBetween val="midCat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title>
      <c:tx>
        <c:rich>
          <a:bodyPr/>
          <a:lstStyle/>
          <a:p>
            <a:r>
              <a:rPr lang="ru-RU"/>
              <a:t>Експериментальні дані та пряма регресії — Варіант 6.8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Експериментальні дані</c:v>
          </c:tx>
          <c:trendline>
            <c:spPr>
              <a:ln w="9525">
                <a:solidFill>
                  <a:srgbClr val="A5A5A5"/>
                </a:solidFill>
                <a:prstDash val="dash"/>
              </a:ln>
            </c:spPr>
            <c:trendlineType val="linear"/>
            <c:dispRSqr val="1"/>
            <c:dispEq val="1"/>
            <c:trendlineLbl>
              <c:numFmt formatCode="General" sourceLinked="0"/>
            </c:trendlineLbl>
          </c:trendline>
          <c:xVal>
            <c:numLit>
              <c:formatCode>General</c:formatCode>
              <c:ptCount val="5"/>
              <c:pt idx="0">
                <c:v>2</c:v>
              </c:pt>
              <c:pt idx="1">
                <c:v>3</c:v>
              </c:pt>
              <c:pt idx="2">
                <c:v>4</c:v>
              </c:pt>
              <c:pt idx="3">
                <c:v>5</c:v>
              </c:pt>
              <c:pt idx="4">
                <c:v>6</c:v>
              </c:pt>
            </c:numLit>
          </c:xVal>
          <c:yVal>
            <c:numLit>
              <c:formatCode>General</c:formatCode>
              <c:ptCount val="5"/>
              <c:pt idx="0">
                <c:v>5.3</c:v>
              </c:pt>
              <c:pt idx="1">
                <c:v>6.3</c:v>
              </c:pt>
              <c:pt idx="2">
                <c:v>4.9000000000000004</c:v>
              </c:pt>
              <c:pt idx="3">
                <c:v>2.9</c:v>
              </c:pt>
              <c:pt idx="4">
                <c:v>3.3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1-6F22-46EB-AE58-F22519CEAEC4}"/>
            </c:ext>
          </c:extLst>
        </c:ser>
        <c:ser>
          <c:idx val="1"/>
          <c:order val="1"/>
          <c:tx>
            <c:v>Пряма регресії</c:v>
          </c:tx>
          <c:xVal>
            <c:numLit>
              <c:formatCode>General</c:formatCode>
              <c:ptCount val="2"/>
              <c:pt idx="0">
                <c:v>2</c:v>
              </c:pt>
              <c:pt idx="1">
                <c:v>6</c:v>
              </c:pt>
            </c:numLit>
          </c:xVal>
          <c:yVal>
            <c:numLit>
              <c:formatCode>General</c:formatCode>
              <c:ptCount val="2"/>
              <c:pt idx="0">
                <c:v>6.0200000000000022</c:v>
              </c:pt>
              <c:pt idx="1">
                <c:v>3.0599999999999978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2-6F22-46EB-AE58-F22519CEAE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650112"/>
        <c:axId val="48672768"/>
      </c:scatterChart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midCat"/>
      </c:valAx>
      <c:val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crossBetween val="midCat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17</xdr:row>
      <xdr:rowOff>0</xdr:rowOff>
    </xdr:from>
    <xdr:ext cx="6858000" cy="3619500"/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17</xdr:row>
      <xdr:rowOff>0</xdr:rowOff>
    </xdr:from>
    <xdr:ext cx="6858000" cy="3619500"/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workbookViewId="0">
      <selection sqref="A1:H1"/>
    </sheetView>
  </sheetViews>
  <sheetFormatPr defaultRowHeight="14.25"/>
  <cols>
    <col min="1" max="1" width="24" customWidth="1"/>
    <col min="2" max="8" width="16" customWidth="1"/>
  </cols>
  <sheetData>
    <row r="1" spans="1:8" ht="18">
      <c r="A1" s="14" t="s">
        <v>0</v>
      </c>
      <c r="B1" s="15"/>
      <c r="C1" s="15"/>
      <c r="D1" s="15"/>
      <c r="E1" s="15"/>
      <c r="F1" s="15"/>
      <c r="G1" s="15"/>
      <c r="H1" s="15"/>
    </row>
    <row r="3" spans="1:8">
      <c r="A3" t="s">
        <v>1</v>
      </c>
    </row>
    <row r="4" spans="1:8">
      <c r="A4" t="s">
        <v>2</v>
      </c>
    </row>
    <row r="6" spans="1:8" ht="15">
      <c r="A6" s="1" t="s">
        <v>3</v>
      </c>
    </row>
    <row r="7" spans="1:8">
      <c r="A7" t="s">
        <v>4</v>
      </c>
    </row>
    <row r="8" spans="1:8">
      <c r="A8" t="s">
        <v>5</v>
      </c>
    </row>
    <row r="9" spans="1:8">
      <c r="A9" t="s">
        <v>6</v>
      </c>
    </row>
    <row r="11" spans="1:8" ht="15">
      <c r="A11" s="1" t="s">
        <v>7</v>
      </c>
    </row>
    <row r="12" spans="1:8">
      <c r="A12" s="16" t="s">
        <v>8</v>
      </c>
      <c r="B12" s="15"/>
      <c r="C12" s="15"/>
      <c r="D12" s="15"/>
      <c r="E12" s="15"/>
      <c r="F12" s="15"/>
      <c r="G12" s="15"/>
      <c r="H12" s="15"/>
    </row>
    <row r="13" spans="1:8">
      <c r="A13" s="15"/>
      <c r="B13" s="15"/>
      <c r="C13" s="15"/>
      <c r="D13" s="15"/>
      <c r="E13" s="15"/>
      <c r="F13" s="15"/>
      <c r="G13" s="15"/>
      <c r="H13" s="15"/>
    </row>
  </sheetData>
  <mergeCells count="2">
    <mergeCell ref="A1:H1"/>
    <mergeCell ref="A12:H1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6"/>
  <sheetViews>
    <sheetView workbookViewId="0">
      <selection sqref="A1:H1"/>
    </sheetView>
  </sheetViews>
  <sheetFormatPr defaultRowHeight="14.25"/>
  <cols>
    <col min="1" max="1" width="8" customWidth="1"/>
    <col min="2" max="6" width="10" customWidth="1"/>
    <col min="7" max="7" width="14" customWidth="1"/>
    <col min="8" max="8" width="3" customWidth="1"/>
    <col min="9" max="9" width="15" customWidth="1"/>
    <col min="10" max="10" width="18" customWidth="1"/>
    <col min="11" max="11" width="34" customWidth="1"/>
  </cols>
  <sheetData>
    <row r="1" spans="1:11" ht="24" customHeight="1">
      <c r="A1" s="17" t="s">
        <v>9</v>
      </c>
      <c r="B1" s="18"/>
      <c r="C1" s="18"/>
      <c r="D1" s="18"/>
      <c r="E1" s="18"/>
      <c r="F1" s="18"/>
      <c r="G1" s="18"/>
      <c r="H1" s="18"/>
      <c r="I1" s="3"/>
      <c r="J1" s="3"/>
      <c r="K1" s="3"/>
    </row>
    <row r="2" spans="1:11">
      <c r="A2" s="3"/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 ht="15">
      <c r="A3" s="4" t="s">
        <v>10</v>
      </c>
      <c r="B3" s="4" t="s">
        <v>11</v>
      </c>
      <c r="C3" s="4" t="s">
        <v>12</v>
      </c>
      <c r="D3" s="4" t="s">
        <v>13</v>
      </c>
      <c r="E3" s="4" t="s">
        <v>14</v>
      </c>
      <c r="F3" s="4" t="s">
        <v>15</v>
      </c>
      <c r="G3" s="4" t="s">
        <v>16</v>
      </c>
      <c r="H3" s="3"/>
      <c r="I3" s="19" t="s">
        <v>17</v>
      </c>
      <c r="J3" s="18"/>
      <c r="K3" s="18"/>
    </row>
    <row r="4" spans="1:11" ht="15">
      <c r="A4" s="5">
        <v>1</v>
      </c>
      <c r="B4" s="6">
        <v>1</v>
      </c>
      <c r="C4" s="7">
        <v>4.5</v>
      </c>
      <c r="D4" s="8">
        <f t="shared" ref="D4:E8" si="0">B4^2</f>
        <v>1</v>
      </c>
      <c r="E4" s="8">
        <f t="shared" si="0"/>
        <v>20.25</v>
      </c>
      <c r="F4" s="8">
        <f>B4*C4</f>
        <v>4.5</v>
      </c>
      <c r="G4" s="8">
        <f>$J$5*B4+$J$6</f>
        <v>5.18</v>
      </c>
      <c r="H4" s="3"/>
      <c r="I4" s="9" t="s">
        <v>18</v>
      </c>
      <c r="J4" s="10">
        <f>COUNT(B4:B8)</f>
        <v>5</v>
      </c>
      <c r="K4" s="2"/>
    </row>
    <row r="5" spans="1:11" ht="15">
      <c r="A5" s="5">
        <v>2</v>
      </c>
      <c r="B5" s="6">
        <v>2</v>
      </c>
      <c r="C5" s="7">
        <v>5.5</v>
      </c>
      <c r="D5" s="8">
        <f t="shared" si="0"/>
        <v>4</v>
      </c>
      <c r="E5" s="8">
        <f t="shared" si="0"/>
        <v>30.25</v>
      </c>
      <c r="F5" s="8">
        <f>B5*C5</f>
        <v>11</v>
      </c>
      <c r="G5" s="8">
        <f>$J$5*B5+$J$6</f>
        <v>4.4399999999999995</v>
      </c>
      <c r="H5" s="3"/>
      <c r="I5" s="9" t="s">
        <v>19</v>
      </c>
      <c r="J5" s="11">
        <f>(J4*F9-B9*C9)/(J4*D9-B9^2)</f>
        <v>-0.74</v>
      </c>
      <c r="K5" s="2" t="s">
        <v>20</v>
      </c>
    </row>
    <row r="6" spans="1:11" ht="15">
      <c r="A6" s="5">
        <v>3</v>
      </c>
      <c r="B6" s="6">
        <v>3</v>
      </c>
      <c r="C6" s="7">
        <v>3.9</v>
      </c>
      <c r="D6" s="8">
        <f t="shared" si="0"/>
        <v>9</v>
      </c>
      <c r="E6" s="8">
        <f t="shared" si="0"/>
        <v>15.209999999999999</v>
      </c>
      <c r="F6" s="8">
        <f>B6*C6</f>
        <v>11.7</v>
      </c>
      <c r="G6" s="8">
        <f>$J$5*B6+$J$6</f>
        <v>3.7</v>
      </c>
      <c r="H6" s="3"/>
      <c r="I6" s="9" t="s">
        <v>21</v>
      </c>
      <c r="J6" s="11">
        <f>(C9-J5*B9)/J4</f>
        <v>5.92</v>
      </c>
      <c r="K6" s="2" t="s">
        <v>22</v>
      </c>
    </row>
    <row r="7" spans="1:11" ht="15">
      <c r="A7" s="5">
        <v>4</v>
      </c>
      <c r="B7" s="6">
        <v>4</v>
      </c>
      <c r="C7" s="7">
        <v>2.1</v>
      </c>
      <c r="D7" s="8">
        <f t="shared" si="0"/>
        <v>16</v>
      </c>
      <c r="E7" s="8">
        <f t="shared" si="0"/>
        <v>4.41</v>
      </c>
      <c r="F7" s="8">
        <f>B7*C7</f>
        <v>8.4</v>
      </c>
      <c r="G7" s="8">
        <f>$J$5*B7+$J$6</f>
        <v>2.96</v>
      </c>
      <c r="H7" s="3"/>
      <c r="I7" s="9" t="s">
        <v>23</v>
      </c>
      <c r="J7" s="11">
        <f>(J4*F9-B9*C9)/SQRT((J4*D9-B9^2)*(J4*E9-C9^2))</f>
        <v>-0.83151316370466566</v>
      </c>
      <c r="K7" s="2" t="s">
        <v>24</v>
      </c>
    </row>
    <row r="8" spans="1:11" ht="15">
      <c r="A8" s="5">
        <v>5</v>
      </c>
      <c r="B8" s="6">
        <v>5</v>
      </c>
      <c r="C8" s="7">
        <v>2.5</v>
      </c>
      <c r="D8" s="8">
        <f t="shared" si="0"/>
        <v>25</v>
      </c>
      <c r="E8" s="8">
        <f t="shared" si="0"/>
        <v>6.25</v>
      </c>
      <c r="F8" s="8">
        <f>B8*C8</f>
        <v>12.5</v>
      </c>
      <c r="G8" s="8">
        <f>$J$5*B8+$J$6</f>
        <v>2.2199999999999998</v>
      </c>
      <c r="H8" s="3"/>
      <c r="I8" s="9" t="s">
        <v>25</v>
      </c>
      <c r="J8" s="11" t="str">
        <f>"y = "&amp;TEXT(J5,"0.00")&amp;"x + "&amp;TEXT(J6,"0.00")</f>
        <v>y = -0.74x + 5.92</v>
      </c>
      <c r="K8" s="2"/>
    </row>
    <row r="9" spans="1:11" ht="15">
      <c r="A9" s="12" t="s">
        <v>26</v>
      </c>
      <c r="B9" s="10">
        <f t="shared" ref="B9:G9" si="1">SUM(B4:B8)</f>
        <v>15</v>
      </c>
      <c r="C9" s="13">
        <f t="shared" si="1"/>
        <v>18.5</v>
      </c>
      <c r="D9" s="13">
        <f t="shared" si="1"/>
        <v>55</v>
      </c>
      <c r="E9" s="13">
        <f t="shared" si="1"/>
        <v>76.36999999999999</v>
      </c>
      <c r="F9" s="13">
        <f t="shared" si="1"/>
        <v>48.1</v>
      </c>
      <c r="G9" s="13">
        <f t="shared" si="1"/>
        <v>18.5</v>
      </c>
      <c r="H9" s="3"/>
      <c r="I9" s="9" t="s">
        <v>27</v>
      </c>
      <c r="J9" s="11">
        <f>J7^2</f>
        <v>0.69141414141414215</v>
      </c>
      <c r="K9" s="2"/>
    </row>
    <row r="10" spans="1:1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>
      <c r="A11" s="20" t="s">
        <v>28</v>
      </c>
      <c r="B11" s="18"/>
      <c r="C11" s="18"/>
      <c r="D11" s="18"/>
      <c r="E11" s="18"/>
      <c r="F11" s="18"/>
      <c r="G11" s="18"/>
      <c r="H11" s="3"/>
      <c r="I11" s="3"/>
      <c r="J11" s="3"/>
      <c r="K11" s="3"/>
    </row>
    <row r="12" spans="1:1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 ht="68.099999999999994" customHeight="1">
      <c r="A13" s="16" t="s">
        <v>29</v>
      </c>
      <c r="B13" s="18"/>
      <c r="C13" s="18"/>
      <c r="D13" s="18"/>
      <c r="E13" s="18"/>
      <c r="F13" s="18"/>
      <c r="G13" s="18"/>
      <c r="H13" s="3"/>
      <c r="I13" s="3"/>
      <c r="J13" s="3"/>
      <c r="K13" s="3"/>
    </row>
    <row r="14" spans="1:11">
      <c r="A14" s="18"/>
      <c r="B14" s="18"/>
      <c r="C14" s="18"/>
      <c r="D14" s="18"/>
      <c r="E14" s="18"/>
      <c r="F14" s="18"/>
      <c r="G14" s="18"/>
      <c r="H14" s="3"/>
      <c r="I14" s="3"/>
      <c r="J14" s="3"/>
      <c r="K14" s="3"/>
    </row>
    <row r="15" spans="1:11">
      <c r="A15" s="18"/>
      <c r="B15" s="18"/>
      <c r="C15" s="18"/>
      <c r="D15" s="18"/>
      <c r="E15" s="18"/>
      <c r="F15" s="18"/>
      <c r="G15" s="18"/>
      <c r="H15" s="3"/>
      <c r="I15" s="3"/>
      <c r="J15" s="3"/>
      <c r="K15" s="3"/>
    </row>
    <row r="16" spans="1:11">
      <c r="A16" s="18"/>
      <c r="B16" s="18"/>
      <c r="C16" s="18"/>
      <c r="D16" s="18"/>
      <c r="E16" s="18"/>
      <c r="F16" s="18"/>
      <c r="G16" s="18"/>
      <c r="H16" s="3"/>
      <c r="I16" s="3"/>
      <c r="J16" s="3"/>
      <c r="K16" s="3"/>
    </row>
  </sheetData>
  <mergeCells count="4">
    <mergeCell ref="A1:H1"/>
    <mergeCell ref="I3:K3"/>
    <mergeCell ref="A11:G11"/>
    <mergeCell ref="A13:G16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6"/>
  <sheetViews>
    <sheetView tabSelected="1" workbookViewId="0">
      <selection activeCell="D12" sqref="D12"/>
    </sheetView>
  </sheetViews>
  <sheetFormatPr defaultRowHeight="14.25"/>
  <cols>
    <col min="1" max="1" width="8" customWidth="1"/>
    <col min="2" max="6" width="10" customWidth="1"/>
    <col min="7" max="7" width="14" customWidth="1"/>
    <col min="8" max="8" width="3" customWidth="1"/>
    <col min="9" max="9" width="15" customWidth="1"/>
    <col min="10" max="10" width="18" customWidth="1"/>
    <col min="11" max="11" width="34" customWidth="1"/>
  </cols>
  <sheetData>
    <row r="1" spans="1:11" ht="24" customHeight="1">
      <c r="A1" s="17" t="s">
        <v>30</v>
      </c>
      <c r="B1" s="18"/>
      <c r="C1" s="18"/>
      <c r="D1" s="18"/>
      <c r="E1" s="18"/>
      <c r="F1" s="18"/>
      <c r="G1" s="18"/>
      <c r="H1" s="18"/>
      <c r="I1" s="3"/>
      <c r="J1" s="3"/>
      <c r="K1" s="3"/>
    </row>
    <row r="2" spans="1:11">
      <c r="A2" s="3"/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 ht="15">
      <c r="A3" s="4" t="s">
        <v>10</v>
      </c>
      <c r="B3" s="4" t="s">
        <v>11</v>
      </c>
      <c r="C3" s="4" t="s">
        <v>12</v>
      </c>
      <c r="D3" s="4" t="s">
        <v>13</v>
      </c>
      <c r="E3" s="4" t="s">
        <v>14</v>
      </c>
      <c r="F3" s="4" t="s">
        <v>15</v>
      </c>
      <c r="G3" s="4" t="s">
        <v>16</v>
      </c>
      <c r="H3" s="3"/>
      <c r="I3" s="19" t="s">
        <v>17</v>
      </c>
      <c r="J3" s="18"/>
      <c r="K3" s="18"/>
    </row>
    <row r="4" spans="1:11" ht="15">
      <c r="A4" s="5">
        <v>1</v>
      </c>
      <c r="B4" s="6">
        <v>2</v>
      </c>
      <c r="C4" s="7">
        <v>5.3</v>
      </c>
      <c r="D4" s="8">
        <f t="shared" ref="D4:E8" si="0">B4^2</f>
        <v>4</v>
      </c>
      <c r="E4" s="8">
        <f t="shared" si="0"/>
        <v>28.09</v>
      </c>
      <c r="F4" s="8">
        <f>B4*C4</f>
        <v>10.6</v>
      </c>
      <c r="G4" s="8">
        <f>$J$5*B4+$J$6</f>
        <v>6.02</v>
      </c>
      <c r="H4" s="3"/>
      <c r="I4" s="9" t="s">
        <v>18</v>
      </c>
      <c r="J4" s="10">
        <f>COUNT(B4:B8)</f>
        <v>5</v>
      </c>
      <c r="K4" s="2"/>
    </row>
    <row r="5" spans="1:11" ht="15">
      <c r="A5" s="5">
        <v>2</v>
      </c>
      <c r="B5" s="6">
        <v>3</v>
      </c>
      <c r="C5" s="7">
        <v>6.3</v>
      </c>
      <c r="D5" s="8">
        <f t="shared" si="0"/>
        <v>9</v>
      </c>
      <c r="E5" s="8">
        <f t="shared" si="0"/>
        <v>39.69</v>
      </c>
      <c r="F5" s="8">
        <f>B5*C5</f>
        <v>18.899999999999999</v>
      </c>
      <c r="G5" s="8">
        <f>$J$5*B5+$J$6</f>
        <v>5.28</v>
      </c>
      <c r="H5" s="3"/>
      <c r="I5" s="9" t="s">
        <v>19</v>
      </c>
      <c r="J5" s="11">
        <f>(J4*F9-B9*C9)/(J4*D9-B9^2)</f>
        <v>-0.74</v>
      </c>
      <c r="K5" s="2" t="s">
        <v>20</v>
      </c>
    </row>
    <row r="6" spans="1:11" ht="15">
      <c r="A6" s="5">
        <v>3</v>
      </c>
      <c r="B6" s="6">
        <v>4</v>
      </c>
      <c r="C6" s="7">
        <v>4.9000000000000004</v>
      </c>
      <c r="D6" s="8">
        <f t="shared" si="0"/>
        <v>16</v>
      </c>
      <c r="E6" s="8">
        <f t="shared" si="0"/>
        <v>24.010000000000005</v>
      </c>
      <c r="F6" s="8">
        <f>B6*C6</f>
        <v>19.600000000000001</v>
      </c>
      <c r="G6" s="8">
        <f>$J$5*B6+$J$6</f>
        <v>4.54</v>
      </c>
      <c r="H6" s="3"/>
      <c r="I6" s="9" t="s">
        <v>21</v>
      </c>
      <c r="J6" s="11">
        <f>(C9-J5*B9)/J4</f>
        <v>7.5</v>
      </c>
      <c r="K6" s="2" t="s">
        <v>22</v>
      </c>
    </row>
    <row r="7" spans="1:11" ht="15">
      <c r="A7" s="5">
        <v>4</v>
      </c>
      <c r="B7" s="6">
        <v>5</v>
      </c>
      <c r="C7" s="7">
        <v>2.9</v>
      </c>
      <c r="D7" s="8">
        <f t="shared" si="0"/>
        <v>25</v>
      </c>
      <c r="E7" s="8">
        <f t="shared" si="0"/>
        <v>8.41</v>
      </c>
      <c r="F7" s="8">
        <f>B7*C7</f>
        <v>14.5</v>
      </c>
      <c r="G7" s="8">
        <f>$J$5*B7+$J$6</f>
        <v>3.8</v>
      </c>
      <c r="H7" s="3"/>
      <c r="I7" s="9" t="s">
        <v>23</v>
      </c>
      <c r="J7" s="11">
        <f>(J4*F9-B9*C9)/SQRT((J4*D9-B9^2)*(J4*E9-C9^2))</f>
        <v>-0.82569540895328486</v>
      </c>
      <c r="K7" s="2" t="s">
        <v>24</v>
      </c>
    </row>
    <row r="8" spans="1:11" ht="15">
      <c r="A8" s="5">
        <v>5</v>
      </c>
      <c r="B8" s="6">
        <v>6</v>
      </c>
      <c r="C8" s="7">
        <v>3.3</v>
      </c>
      <c r="D8" s="8">
        <f t="shared" si="0"/>
        <v>36</v>
      </c>
      <c r="E8" s="8">
        <f t="shared" si="0"/>
        <v>10.889999999999999</v>
      </c>
      <c r="F8" s="8">
        <f>B8*C8</f>
        <v>19.799999999999997</v>
      </c>
      <c r="G8" s="8">
        <f>$J$5*B8+$J$6</f>
        <v>3.0600000000000005</v>
      </c>
      <c r="H8" s="3"/>
      <c r="I8" s="9" t="s">
        <v>25</v>
      </c>
      <c r="J8" s="11" t="str">
        <f>"y = "&amp;TEXT(J5,"0.00")&amp;"x + "&amp;TEXT(J6,"0.00")</f>
        <v>y = -0.74x + 7.50</v>
      </c>
      <c r="K8" s="2"/>
    </row>
    <row r="9" spans="1:11" ht="15">
      <c r="A9" s="12" t="s">
        <v>26</v>
      </c>
      <c r="B9" s="10">
        <f t="shared" ref="B9:G9" si="1">SUM(B4:B8)</f>
        <v>20</v>
      </c>
      <c r="C9" s="13">
        <f t="shared" si="1"/>
        <v>22.7</v>
      </c>
      <c r="D9" s="13">
        <f t="shared" si="1"/>
        <v>90</v>
      </c>
      <c r="E9" s="13">
        <f t="shared" si="1"/>
        <v>111.09</v>
      </c>
      <c r="F9" s="13">
        <f t="shared" si="1"/>
        <v>83.4</v>
      </c>
      <c r="G9" s="13">
        <f t="shared" si="1"/>
        <v>22.700000000000003</v>
      </c>
      <c r="H9" s="3"/>
      <c r="I9" s="9" t="s">
        <v>27</v>
      </c>
      <c r="J9" s="11">
        <f>J7^2</f>
        <v>0.68177290836653237</v>
      </c>
      <c r="K9" s="2"/>
    </row>
    <row r="10" spans="1:1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>
      <c r="A11" s="20" t="s">
        <v>31</v>
      </c>
      <c r="B11" s="18"/>
      <c r="C11" s="18"/>
      <c r="D11" s="18"/>
      <c r="E11" s="18"/>
      <c r="F11" s="18"/>
      <c r="G11" s="18"/>
      <c r="H11" s="3"/>
      <c r="I11" s="3"/>
      <c r="J11" s="3"/>
      <c r="K11" s="3"/>
    </row>
    <row r="12" spans="1:1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 ht="68.099999999999994" customHeight="1">
      <c r="A13" s="16" t="s">
        <v>32</v>
      </c>
      <c r="B13" s="18"/>
      <c r="C13" s="18"/>
      <c r="D13" s="18"/>
      <c r="E13" s="18"/>
      <c r="F13" s="18"/>
      <c r="G13" s="18"/>
      <c r="H13" s="3"/>
      <c r="I13" s="3"/>
      <c r="J13" s="3"/>
      <c r="K13" s="3"/>
    </row>
    <row r="14" spans="1:11">
      <c r="A14" s="18"/>
      <c r="B14" s="18"/>
      <c r="C14" s="18"/>
      <c r="D14" s="18"/>
      <c r="E14" s="18"/>
      <c r="F14" s="18"/>
      <c r="G14" s="18"/>
      <c r="H14" s="3"/>
      <c r="I14" s="3"/>
      <c r="J14" s="3"/>
      <c r="K14" s="3"/>
    </row>
    <row r="15" spans="1:11">
      <c r="A15" s="18"/>
      <c r="B15" s="18"/>
      <c r="C15" s="18"/>
      <c r="D15" s="18"/>
      <c r="E15" s="18"/>
      <c r="F15" s="18"/>
      <c r="G15" s="18"/>
      <c r="H15" s="3"/>
      <c r="I15" s="3"/>
      <c r="J15" s="3"/>
      <c r="K15" s="3"/>
    </row>
    <row r="16" spans="1:11">
      <c r="A16" s="18"/>
      <c r="B16" s="18"/>
      <c r="C16" s="18"/>
      <c r="D16" s="18"/>
      <c r="E16" s="18"/>
      <c r="F16" s="18"/>
      <c r="G16" s="18"/>
      <c r="H16" s="3"/>
      <c r="I16" s="3"/>
      <c r="J16" s="3"/>
      <c r="K16" s="3"/>
    </row>
  </sheetData>
  <mergeCells count="4">
    <mergeCell ref="A1:H1"/>
    <mergeCell ref="I3:K3"/>
    <mergeCell ref="A11:G11"/>
    <mergeCell ref="A13:G1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Завдання</vt:lpstr>
      <vt:lpstr>Варіант 6.7</vt:lpstr>
      <vt:lpstr>Варіант 6.8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Vadim</dc:creator>
  <cp:lastModifiedBy>Vadim</cp:lastModifiedBy>
  <dcterms:created xsi:type="dcterms:W3CDTF">2026-05-19T12:14:41Z</dcterms:created>
  <dcterms:modified xsi:type="dcterms:W3CDTF">2026-05-19T12:14:41Z</dcterms:modified>
</cp:coreProperties>
</file>